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生产数据\"/>
    </mc:Choice>
  </mc:AlternateContent>
  <bookViews>
    <workbookView windowWidth="27945" windowHeight="12255"/>
  </bookViews>
  <sheets>
    <sheet name="分析概览" sheetId="2" r:id="rId1"/>
    <sheet name="产品报废TOP排名" sheetId="3" r:id="rId2"/>
    <sheet name="报废率分级统计" sheetId="4" r:id="rId3"/>
    <sheet name="产品系列分析" sheetId="5" r:id="rId4"/>
    <sheet name="改善建议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<sst xmlns="http://schemas.openxmlformats.org/spreadsheetml/2006/main" count="202" uniqueCount="190">
  <si>
    <t>二部8月份报废率分析报告</t>
  </si>
  <si>
    <t>统计周期：2026年8月1日 - 8月7日 | 数据来源：二部每日产量表和报废统计表</t>
  </si>
  <si>
    <t>总产量</t>
  </si>
  <si>
    <t>总报废量</t>
  </si>
  <si>
    <t>整体报废率</t>
  </si>
  <si>
    <t>生产产品数</t>
  </si>
  <si>
    <t>统计天数</t>
  </si>
  <si>
    <t>日均产量</t>
  </si>
  <si>
    <t>121.57</t>
  </si>
  <si>
    <t>5482.7</t>
  </si>
  <si>
    <t>4.51</t>
  </si>
  <si>
    <t>61</t>
  </si>
  <si>
    <t>7</t>
  </si>
  <si>
    <t>17.37</t>
  </si>
  <si>
    <t>吨</t>
  </si>
  <si>
    <t>KG</t>
  </si>
  <si>
    <t>%</t>
  </si>
  <si>
    <t>个</t>
  </si>
  <si>
    <t>天</t>
  </si>
  <si>
    <t>核心结论</t>
  </si>
  <si>
    <t>1. 二部8月前7天整体平均报废率为 4.51%，处于超标水平</t>
  </si>
  <si>
    <t>2. 报废率严重(&gt;20%)产品2个，较差(10-20%)产品11个，合计贡献21.29%的报废量</t>
  </si>
  <si>
    <t>3. 报废量TOP3产品：EC02(545.1KG)、EC02-01(402.3KG)、EO02(397.4KG)，合计占总报废的24.53%</t>
  </si>
  <si>
    <t>日报废趋势</t>
  </si>
  <si>
    <t>日期</t>
  </si>
  <si>
    <t>总产量(KG)</t>
  </si>
  <si>
    <t>总报废(KG)</t>
  </si>
  <si>
    <t>报废率</t>
  </si>
  <si>
    <t>环比变化</t>
  </si>
  <si>
    <t>08-01</t>
  </si>
  <si>
    <t>—</t>
  </si>
  <si>
    <t>08-02</t>
  </si>
  <si>
    <t>08-03</t>
  </si>
  <si>
    <t>08-04</t>
  </si>
  <si>
    <t>08-05</t>
  </si>
  <si>
    <t>08-06</t>
  </si>
  <si>
    <t>08-07</t>
  </si>
  <si>
    <t>二部8月1-7日产品报废率TOP排名</t>
  </si>
  <si>
    <t>报废率从高到低排序 | 报废率 = 总报废KG ÷ 总产量KG</t>
  </si>
  <si>
    <t>排名</t>
  </si>
  <si>
    <t>产品名称</t>
  </si>
  <si>
    <t>生产天数</t>
  </si>
  <si>
    <t>EJ05</t>
  </si>
  <si>
    <t>EC25</t>
  </si>
  <si>
    <t>ED01</t>
  </si>
  <si>
    <t>EK01</t>
  </si>
  <si>
    <t>LA01</t>
  </si>
  <si>
    <t>EU04</t>
  </si>
  <si>
    <t>ED03</t>
  </si>
  <si>
    <t>EDC03</t>
  </si>
  <si>
    <t>EC27</t>
  </si>
  <si>
    <t>EK03</t>
  </si>
  <si>
    <t>EC38</t>
  </si>
  <si>
    <t>EO02</t>
  </si>
  <si>
    <t>ELW03</t>
  </si>
  <si>
    <t>EDM01</t>
  </si>
  <si>
    <t>ETS03</t>
  </si>
  <si>
    <t>TR01</t>
  </si>
  <si>
    <t>EX02</t>
  </si>
  <si>
    <t>ET51-B</t>
  </si>
  <si>
    <t>EO01</t>
  </si>
  <si>
    <t>EU05</t>
  </si>
  <si>
    <t>EU07</t>
  </si>
  <si>
    <t>EB01</t>
  </si>
  <si>
    <t>EPD03</t>
  </si>
  <si>
    <t>EDM03</t>
  </si>
  <si>
    <t>EC01-01</t>
  </si>
  <si>
    <t>EQB01</t>
  </si>
  <si>
    <t>EC92</t>
  </si>
  <si>
    <t>BLP01</t>
  </si>
  <si>
    <t>EC02</t>
  </si>
  <si>
    <t>LM01</t>
  </si>
  <si>
    <t>LA03</t>
  </si>
  <si>
    <t>ETS01</t>
  </si>
  <si>
    <t>TR03</t>
  </si>
  <si>
    <t>EC41</t>
  </si>
  <si>
    <t>EY01</t>
  </si>
  <si>
    <t>SC17</t>
  </si>
  <si>
    <t>EC02-01</t>
  </si>
  <si>
    <t>EY03</t>
  </si>
  <si>
    <t>LM03</t>
  </si>
  <si>
    <t>PT09</t>
  </si>
  <si>
    <t>EC48</t>
  </si>
  <si>
    <t>EX01</t>
  </si>
  <si>
    <t>EX03</t>
  </si>
  <si>
    <t>EQB03</t>
  </si>
  <si>
    <t>EB03</t>
  </si>
  <si>
    <t>ES01</t>
  </si>
  <si>
    <t>ET53-B</t>
  </si>
  <si>
    <t>EPD01</t>
  </si>
  <si>
    <t>ET12</t>
  </si>
  <si>
    <t>EC46</t>
  </si>
  <si>
    <t>TG03</t>
  </si>
  <si>
    <t>EC03杯底</t>
  </si>
  <si>
    <t>EO03</t>
  </si>
  <si>
    <t>BLP03</t>
  </si>
  <si>
    <t>LB03</t>
  </si>
  <si>
    <t>LB01</t>
  </si>
  <si>
    <t>ES11</t>
  </si>
  <si>
    <t>EDG03</t>
  </si>
  <si>
    <t>BLW20</t>
  </si>
  <si>
    <t>ES12</t>
  </si>
  <si>
    <t>EE03</t>
  </si>
  <si>
    <t>合计/平均</t>
  </si>
  <si>
    <t>产品报废率分级统计</t>
  </si>
  <si>
    <t>按报废率区间对产品进行分级，分析各等级产量与报废贡献</t>
  </si>
  <si>
    <t>报废等级</t>
  </si>
  <si>
    <t>产品数</t>
  </si>
  <si>
    <t>产量占比</t>
  </si>
  <si>
    <t>报废占比</t>
  </si>
  <si>
    <t>优秀(&lt;2%)</t>
  </si>
  <si>
    <t>良好(2-5%)</t>
  </si>
  <si>
    <t>一般(5-10%)</t>
  </si>
  <si>
    <t>较差(10-20%)</t>
  </si>
  <si>
    <t>严重(&gt;20%)</t>
  </si>
  <si>
    <t>合计</t>
  </si>
  <si>
    <t>产品系列报废率对比分析</t>
  </si>
  <si>
    <t>按产品名称前缀分组，分析各系列报废表现</t>
  </si>
  <si>
    <t>产品系列</t>
  </si>
  <si>
    <t>EJ</t>
  </si>
  <si>
    <t>EK</t>
  </si>
  <si>
    <t>ELW</t>
  </si>
  <si>
    <t>EO</t>
  </si>
  <si>
    <t>ED</t>
  </si>
  <si>
    <t>EU</t>
  </si>
  <si>
    <t>LA</t>
  </si>
  <si>
    <t>TR</t>
  </si>
  <si>
    <t>EP</t>
  </si>
  <si>
    <t>EC</t>
  </si>
  <si>
    <t>EX</t>
  </si>
  <si>
    <t>EB</t>
  </si>
  <si>
    <t>ET</t>
  </si>
  <si>
    <t>SC</t>
  </si>
  <si>
    <t>LM</t>
  </si>
  <si>
    <t>EY</t>
  </si>
  <si>
    <t>PT</t>
  </si>
  <si>
    <t>EQ</t>
  </si>
  <si>
    <t>TG</t>
  </si>
  <si>
    <t>ES</t>
  </si>
  <si>
    <t>BL</t>
  </si>
  <si>
    <t>LB</t>
  </si>
  <si>
    <t>EE</t>
  </si>
  <si>
    <t>报废率改善建议与行动计划</t>
  </si>
  <si>
    <t>基于数据分析的针对性改善措施建议</t>
  </si>
  <si>
    <t>项目/产品</t>
  </si>
  <si>
    <t>问题描述</t>
  </si>
  <si>
    <t>改善措施建议</t>
  </si>
  <si>
    <t>一、高报废产品专项改善（优先级：高）</t>
  </si>
  <si>
    <t>EJ05 (30.71%)</t>
  </si>
  <si>
    <t>单批次试产/换模初期</t>
  </si>
  <si>
    <t>1. 检查模具调试参数 2. 首件确认流程优化 3. 工艺参数固化</t>
  </si>
  <si>
    <t>EC25 (26.11%)</t>
  </si>
  <si>
    <t>小批量高报废</t>
  </si>
  <si>
    <t>1. 排查原材料批次 2. 机台参数复核 3. 操作员技能确认</t>
  </si>
  <si>
    <t>ED01 (19.19%)</t>
  </si>
  <si>
    <t>持续高报废</t>
  </si>
  <si>
    <t>1. 成立专项改善小组 2. 鱼骨图分析根因 3. 制定改善目标</t>
  </si>
  <si>
    <t>EK01 (14.70%)</t>
  </si>
  <si>
    <t>两天数据波动大</t>
  </si>
  <si>
    <t>1. 对比两天工艺参数差异 2. 检查模具磨损情况 3. 确认原材料一致性</t>
  </si>
  <si>
    <t>二、高报废量产品重点管控（优先级：高）</t>
  </si>
  <si>
    <t>EC02 (545.1KG)</t>
  </si>
  <si>
    <t>产量大报废量最高</t>
  </si>
  <si>
    <t>1. 设立质量控制点 2. 增加巡检频次 3. 统计不良类型分布</t>
  </si>
  <si>
    <t>EC02-01 (402.3KG)</t>
  </si>
  <si>
    <t>同系列高报废</t>
  </si>
  <si>
    <t>1. 与EC02对比分析差异 2. 统一工艺标准 3. 共享改善经验</t>
  </si>
  <si>
    <t>EO02 (397.4KG)</t>
  </si>
  <si>
    <t>报废率10.3%偏高</t>
  </si>
  <si>
    <t>1. 排查设备稳定性 2. 优化成型周期 3. 冷却时间调整</t>
  </si>
  <si>
    <t>三、日常管理优化（优先级：中）</t>
  </si>
  <si>
    <t>日波动管控</t>
  </si>
  <si>
    <t>8.1报废率5.83% vs 8.2的3.37%</t>
  </si>
  <si>
    <t>1. 建立日报废率预警机制 2. 异常日当日复盘 3. 交接班质量确认</t>
  </si>
  <si>
    <t>系列差异管控</t>
  </si>
  <si>
    <t>EJ系列30.7% vs EE系列0.25%</t>
  </si>
  <si>
    <t>1. 总结低报废系列最佳实践 2. 推广到高报废系列 3. 建立系列标准</t>
  </si>
  <si>
    <t>新/小批量产品</t>
  </si>
  <si>
    <t>生产1天产品报废率偏高</t>
  </si>
  <si>
    <t>1. 试产流程标准化 2. 首件三检制度 3. 小批量专项跟踪</t>
  </si>
  <si>
    <t>四、目标设定（建议）</t>
  </si>
  <si>
    <t>短期目标(1个月)</t>
  </si>
  <si>
    <t>整体报废率降至4.0%以下</t>
  </si>
  <si>
    <t>重点改善TOP10高报废产品，预计可降低报废量约300KG</t>
  </si>
  <si>
    <t>中期目标(3个月)</t>
  </si>
  <si>
    <t>整体报废率降至3.5%以下</t>
  </si>
  <si>
    <t>建立完善的过程管控体系，各系列报废率均衡化</t>
  </si>
  <si>
    <t>长期目标(6个月)</t>
  </si>
  <si>
    <t>整体报废率降至3.0%以下</t>
  </si>
  <si>
    <t>全面质量管理体系运行，持续改善机制成熟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</si>
</sst>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.00%;\-0.00%"/>
  </numFmts>
  <fonts count="38">
    <font>
      <sz val="11"/>
      <color theme="1"/>
      <name val="等线"/>
      <charset val="134"/>
      <scheme val="minor"/>
    </font>
    <font>
      <b/>
      <sz val="16"/>
      <color rgb="FF1F4E79"/>
      <name val="微软雅黑"/>
      <charset val="134"/>
    </font>
    <font>
      <sz val="10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1F4E79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Calibri"/>
      <charset val="134"/>
    </font>
    <font>
      <b/>
      <sz val="10"/>
      <color rgb="FF1F4E79"/>
      <name val="微软雅黑"/>
      <charset val="134"/>
    </font>
    <font>
      <b/>
      <sz val="18"/>
      <color rgb="FF4F81BD"/>
      <name val="微软雅黑"/>
      <charset val="134"/>
    </font>
    <font>
      <b/>
      <sz val="18"/>
      <color rgb="FFC0504D"/>
      <name val="微软雅黑"/>
      <charset val="134"/>
    </font>
    <font>
      <b/>
      <sz val="18"/>
      <color rgb="FF9BBB59"/>
      <name val="微软雅黑"/>
      <charset val="134"/>
    </font>
    <font>
      <b/>
      <sz val="18"/>
      <color rgb="FF8064A2"/>
      <name val="微软雅黑"/>
      <charset val="134"/>
    </font>
    <font>
      <b/>
      <sz val="18"/>
      <color rgb="FF4BACC6"/>
      <name val="微软雅黑"/>
      <charset val="134"/>
    </font>
    <font>
      <b/>
      <sz val="18"/>
      <color rgb="FFF79646"/>
      <name val="微软雅黑"/>
      <charset val="134"/>
    </font>
    <font>
      <sz val="9"/>
      <name val="微软雅黑"/>
      <charset val="134"/>
    </font>
    <font>
      <b/>
      <sz val="12"/>
      <color rgb="FF1F4E79"/>
      <name val="微软雅黑"/>
      <charset val="134"/>
    </font>
    <font>
      <sz val="10"/>
      <color rgb="FF333333"/>
      <name val="微软雅黑"/>
      <charset val="134"/>
    </font>
    <font>
      <sz val="10"/>
      <color rgb="FF9BBB59"/>
      <name val="微软雅黑"/>
      <charset val="134"/>
    </font>
    <font>
      <sz val="10"/>
      <color rgb="FFC0504D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5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2" borderId="5" applyNumberFormat="0" applyAlignment="0" applyProtection="0">
      <alignment vertical="center"/>
    </xf>
    <xf numFmtId="0" fontId="30" fillId="13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4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right" vertical="center"/>
    </xf>
    <xf numFmtId="10" fontId="5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/>
    </xf>
    <xf numFmtId="10" fontId="5" fillId="8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/>
    <xf numFmtId="0" fontId="7" fillId="3" borderId="1" xfId="0" applyFont="1" applyFill="1" applyBorder="1" applyAlignment="1">
      <alignment horizontal="right" vertical="center"/>
    </xf>
    <xf numFmtId="10" fontId="7" fillId="3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right" vertical="center"/>
    </xf>
    <xf numFmtId="10" fontId="5" fillId="9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10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right" vertical="center"/>
    </xf>
    <xf numFmtId="176" fontId="18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2"/>
  <sheetViews>
    <sheetView tabSelected="1" workbookViewId="0">
      <selection activeCell="H15" sqref="H15"/>
    </sheetView>
  </sheetViews>
  <sheetFormatPr defaultColWidth="8" defaultRowHeight="14.25" outlineLevelCol="5"/>
  <cols>
    <col min="1" max="6" width="18" customWidth="1"/>
  </cols>
  <sheetData>
    <row r="1" ht="36" customHeight="1" spans="1:6">
      <c r="A1" s="1" t="s">
        <v>0</v>
      </c>
    </row>
    <row r="2" ht="22" customHeight="1" spans="1:6">
      <c r="A2" s="2" t="s">
        <v>1</v>
      </c>
    </row>
    <row r="4" ht="20" customHeight="1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ht="32" customHeight="1" spans="1:6">
      <c r="A5" s="35" t="s">
        <v>8</v>
      </c>
      <c r="B5" s="36" t="s">
        <v>9</v>
      </c>
      <c r="C5" s="37" t="s">
        <v>10</v>
      </c>
      <c r="D5" s="38" t="s">
        <v>11</v>
      </c>
      <c r="E5" s="39" t="s">
        <v>12</v>
      </c>
      <c r="F5" s="40" t="s">
        <v>13</v>
      </c>
    </row>
    <row r="6" ht="18" customHeight="1" spans="1:6">
      <c r="A6" s="41" t="s">
        <v>14</v>
      </c>
      <c r="B6" s="41" t="s">
        <v>15</v>
      </c>
      <c r="C6" s="41" t="s">
        <v>16</v>
      </c>
      <c r="D6" s="41" t="s">
        <v>17</v>
      </c>
      <c r="E6" s="41" t="s">
        <v>18</v>
      </c>
      <c r="F6" s="41" t="s">
        <v>14</v>
      </c>
    </row>
    <row r="9" ht="28" customHeight="1" spans="1:6">
      <c r="A9" s="42" t="s">
        <v>19</v>
      </c>
    </row>
    <row r="10" ht="24" customHeight="1" spans="1:6">
      <c r="A10" s="43" t="s">
        <v>20</v>
      </c>
    </row>
    <row r="11" ht="24" customHeight="1" spans="1:6">
      <c r="A11" s="43" t="s">
        <v>21</v>
      </c>
    </row>
    <row r="12" ht="24" customHeight="1" spans="1:6">
      <c r="A12" s="43" t="s">
        <v>22</v>
      </c>
    </row>
    <row r="14" ht="28" customHeight="1" spans="1:6">
      <c r="A14" s="42" t="s">
        <v>23</v>
      </c>
    </row>
    <row r="15" ht="15" customHeight="1" spans="1:6">
      <c r="A15" s="3" t="s">
        <v>24</v>
      </c>
      <c r="B15" s="3" t="s">
        <v>25</v>
      </c>
      <c r="C15" s="3" t="s">
        <v>26</v>
      </c>
      <c r="D15" s="3" t="s">
        <v>5</v>
      </c>
      <c r="E15" s="3" t="s">
        <v>27</v>
      </c>
      <c r="F15" s="3" t="s">
        <v>28</v>
      </c>
    </row>
    <row r="16" ht="15" customHeight="1" spans="1:6">
      <c r="A16" s="13" t="s">
        <v>29</v>
      </c>
      <c r="B16" s="14">
        <v>12962.26</v>
      </c>
      <c r="C16" s="14">
        <v>755.7</v>
      </c>
      <c r="D16" s="13">
        <v>31</v>
      </c>
      <c r="E16" s="44">
        <v>0.0583000366602851</v>
      </c>
      <c r="F16" s="45" t="s">
        <v>30</v>
      </c>
    </row>
    <row r="17" ht="15" customHeight="1" spans="1:6">
      <c r="A17" s="13" t="s">
        <v>31</v>
      </c>
      <c r="B17" s="14">
        <v>15941.01</v>
      </c>
      <c r="C17" s="14">
        <v>536.8</v>
      </c>
      <c r="D17" s="13">
        <v>31</v>
      </c>
      <c r="E17" s="44">
        <v>0.0336741608402882</v>
      </c>
      <c r="F17" s="46">
        <v>-0.0246258758199968</v>
      </c>
    </row>
    <row r="18" ht="15" customHeight="1" spans="1:6">
      <c r="A18" s="13" t="s">
        <v>32</v>
      </c>
      <c r="B18" s="14">
        <v>16580.63</v>
      </c>
      <c r="C18" s="14">
        <v>824.5</v>
      </c>
      <c r="D18" s="13">
        <v>30</v>
      </c>
      <c r="E18" s="44">
        <v>0.0497254899406422</v>
      </c>
      <c r="F18" s="47">
        <v>0.0160513291003539</v>
      </c>
    </row>
    <row r="19" ht="15" customHeight="1" spans="1:6">
      <c r="A19" s="13" t="s">
        <v>33</v>
      </c>
      <c r="B19" s="14">
        <v>17405.72</v>
      </c>
      <c r="C19" s="14">
        <v>639.7</v>
      </c>
      <c r="D19" s="13">
        <v>35</v>
      </c>
      <c r="E19" s="44">
        <v>0.0367522902531226</v>
      </c>
      <c r="F19" s="46">
        <v>-0.0129731996875196</v>
      </c>
    </row>
    <row r="20" ht="15" customHeight="1" spans="1:6">
      <c r="A20" s="13" t="s">
        <v>34</v>
      </c>
      <c r="B20" s="14">
        <v>31412.97</v>
      </c>
      <c r="C20" s="14">
        <v>1340.2</v>
      </c>
      <c r="D20" s="13">
        <v>56</v>
      </c>
      <c r="E20" s="44">
        <v>0.0426639087398555</v>
      </c>
      <c r="F20" s="47">
        <v>0.0059116184867329</v>
      </c>
    </row>
    <row r="21" ht="15" customHeight="1" spans="1:6">
      <c r="A21" s="13" t="s">
        <v>35</v>
      </c>
      <c r="B21" s="14">
        <v>13060.8</v>
      </c>
      <c r="C21" s="14">
        <v>665.8</v>
      </c>
      <c r="D21" s="13">
        <v>28</v>
      </c>
      <c r="E21" s="44">
        <v>0.0509769614453998</v>
      </c>
      <c r="F21" s="47">
        <v>0.00831305270554429</v>
      </c>
    </row>
    <row r="22" ht="15" customHeight="1" spans="1:6">
      <c r="A22" s="13" t="s">
        <v>36</v>
      </c>
      <c r="B22" s="14">
        <v>14206.03</v>
      </c>
      <c r="C22" s="14">
        <v>720</v>
      </c>
      <c r="D22" s="13">
        <v>29</v>
      </c>
      <c r="E22" s="44">
        <v>0.050682685210898</v>
      </c>
      <c r="F22" s="46">
        <v>-0.000294276234501706</v>
      </c>
    </row>
  </sheetData>
  <mergeCells count="7">
    <mergeCell ref="A1:F1"/>
    <mergeCell ref="A2:F2"/>
    <mergeCell ref="A9:F9"/>
    <mergeCell ref="A10:F10"/>
    <mergeCell ref="A11:F11"/>
    <mergeCell ref="A12:F12"/>
    <mergeCell ref="A14:F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6"/>
  <sheetViews>
    <sheetView workbookViewId="0">
      <selection activeCell="I67" sqref="I67"/>
    </sheetView>
  </sheetViews>
  <sheetFormatPr defaultColWidth="8" defaultRowHeight="14.25" outlineLevelCol="5"/>
  <cols>
    <col min="1" max="1" width="8" customWidth="1"/>
    <col min="2" max="2" width="14" customWidth="1"/>
    <col min="3" max="3" width="16" customWidth="1"/>
    <col min="4" max="4" width="14" customWidth="1"/>
    <col min="5" max="6" width="12" customWidth="1"/>
  </cols>
  <sheetData>
    <row r="1" ht="32" customHeight="1" spans="1:6">
      <c r="A1" s="1" t="s">
        <v>37</v>
      </c>
    </row>
    <row r="2" ht="20" customHeight="1" spans="1:6">
      <c r="A2" s="2" t="s">
        <v>38</v>
      </c>
    </row>
    <row r="4" ht="28" customHeight="1" spans="1:6">
      <c r="A4" s="3" t="s">
        <v>39</v>
      </c>
      <c r="B4" s="3" t="s">
        <v>40</v>
      </c>
      <c r="C4" s="3" t="s">
        <v>25</v>
      </c>
      <c r="D4" s="3" t="s">
        <v>26</v>
      </c>
      <c r="E4" s="3" t="s">
        <v>41</v>
      </c>
      <c r="F4" s="3" t="s">
        <v>27</v>
      </c>
    </row>
    <row r="5" ht="15" customHeight="1" spans="1:6">
      <c r="A5" s="22">
        <v>1</v>
      </c>
      <c r="B5" s="22" t="s">
        <v>42</v>
      </c>
      <c r="C5" s="23">
        <v>110.7</v>
      </c>
      <c r="D5" s="23">
        <v>34</v>
      </c>
      <c r="E5" s="22">
        <v>1</v>
      </c>
      <c r="F5" s="24">
        <v>0.30713640469738</v>
      </c>
    </row>
    <row r="6" ht="15" customHeight="1" spans="1:6">
      <c r="A6" s="22">
        <v>2</v>
      </c>
      <c r="B6" s="22" t="s">
        <v>43</v>
      </c>
      <c r="C6" s="23">
        <v>32.56</v>
      </c>
      <c r="D6" s="23">
        <v>8.5</v>
      </c>
      <c r="E6" s="22">
        <v>1</v>
      </c>
      <c r="F6" s="24">
        <v>0.261056511056511</v>
      </c>
    </row>
    <row r="7" ht="15" customHeight="1" spans="1:6">
      <c r="A7" s="22">
        <v>3</v>
      </c>
      <c r="B7" s="22" t="s">
        <v>44</v>
      </c>
      <c r="C7" s="23">
        <v>669.6</v>
      </c>
      <c r="D7" s="23">
        <v>128.5</v>
      </c>
      <c r="E7" s="22">
        <v>2</v>
      </c>
      <c r="F7" s="24">
        <v>0.191905615292712</v>
      </c>
    </row>
    <row r="8" ht="15" customHeight="1" spans="1:6">
      <c r="A8" s="7">
        <v>4</v>
      </c>
      <c r="B8" s="7" t="s">
        <v>45</v>
      </c>
      <c r="C8" s="8">
        <v>487.8</v>
      </c>
      <c r="D8" s="8">
        <v>71.7</v>
      </c>
      <c r="E8" s="7">
        <v>2</v>
      </c>
      <c r="F8" s="9">
        <v>0.146986469864699</v>
      </c>
    </row>
    <row r="9" ht="15" customHeight="1" spans="1:6">
      <c r="A9" s="7">
        <v>5</v>
      </c>
      <c r="B9" s="7" t="s">
        <v>46</v>
      </c>
      <c r="C9" s="8">
        <v>566.4</v>
      </c>
      <c r="D9" s="8">
        <v>81.4</v>
      </c>
      <c r="E9" s="7">
        <v>1</v>
      </c>
      <c r="F9" s="9">
        <v>0.143714689265537</v>
      </c>
    </row>
    <row r="10" ht="15" customHeight="1" spans="1:6">
      <c r="A10" s="7">
        <v>6</v>
      </c>
      <c r="B10" s="7" t="s">
        <v>47</v>
      </c>
      <c r="C10" s="8">
        <v>426.36</v>
      </c>
      <c r="D10" s="8">
        <v>60.1</v>
      </c>
      <c r="E10" s="7">
        <v>1</v>
      </c>
      <c r="F10" s="9">
        <v>0.140960690496294</v>
      </c>
    </row>
    <row r="11" ht="15" customHeight="1" spans="1:6">
      <c r="A11" s="7">
        <v>7</v>
      </c>
      <c r="B11" s="7" t="s">
        <v>48</v>
      </c>
      <c r="C11" s="8">
        <v>658.8</v>
      </c>
      <c r="D11" s="8">
        <v>90.6</v>
      </c>
      <c r="E11" s="7">
        <v>2</v>
      </c>
      <c r="F11" s="9">
        <v>0.13752276867031</v>
      </c>
    </row>
    <row r="12" ht="15" customHeight="1" spans="1:6">
      <c r="A12" s="7">
        <v>8</v>
      </c>
      <c r="B12" s="7" t="s">
        <v>49</v>
      </c>
      <c r="C12" s="8">
        <v>664</v>
      </c>
      <c r="D12" s="8">
        <v>88.9</v>
      </c>
      <c r="E12" s="7">
        <v>2</v>
      </c>
      <c r="F12" s="9">
        <v>0.133885542168675</v>
      </c>
    </row>
    <row r="13" ht="15" customHeight="1" spans="1:6">
      <c r="A13" s="7">
        <v>9</v>
      </c>
      <c r="B13" s="7" t="s">
        <v>50</v>
      </c>
      <c r="C13" s="8">
        <v>650.76</v>
      </c>
      <c r="D13" s="8">
        <v>84.5</v>
      </c>
      <c r="E13" s="7">
        <v>3</v>
      </c>
      <c r="F13" s="9">
        <v>0.12984817751552</v>
      </c>
    </row>
    <row r="14" ht="15" customHeight="1" spans="1:6">
      <c r="A14" s="7">
        <v>10</v>
      </c>
      <c r="B14" s="7" t="s">
        <v>51</v>
      </c>
      <c r="C14" s="8">
        <v>358.14</v>
      </c>
      <c r="D14" s="8">
        <v>44.2</v>
      </c>
      <c r="E14" s="7">
        <v>2</v>
      </c>
      <c r="F14" s="9">
        <v>0.123415424135813</v>
      </c>
    </row>
    <row r="15" ht="15" customHeight="1" spans="1:6">
      <c r="A15" s="7">
        <v>11</v>
      </c>
      <c r="B15" s="7" t="s">
        <v>52</v>
      </c>
      <c r="C15" s="8">
        <v>450.84</v>
      </c>
      <c r="D15" s="8">
        <v>48.3</v>
      </c>
      <c r="E15" s="7">
        <v>3</v>
      </c>
      <c r="F15" s="9">
        <v>0.107134539243847</v>
      </c>
    </row>
    <row r="16" ht="15" customHeight="1" spans="1:6">
      <c r="A16" s="7">
        <v>12</v>
      </c>
      <c r="B16" s="7" t="s">
        <v>53</v>
      </c>
      <c r="C16" s="8">
        <v>3857.1</v>
      </c>
      <c r="D16" s="8">
        <v>397.4</v>
      </c>
      <c r="E16" s="7">
        <v>8</v>
      </c>
      <c r="F16" s="9">
        <v>0.103030774416012</v>
      </c>
    </row>
    <row r="17" ht="15" customHeight="1" spans="1:6">
      <c r="A17" s="7">
        <v>13</v>
      </c>
      <c r="B17" s="7" t="s">
        <v>54</v>
      </c>
      <c r="C17" s="8">
        <v>280.69</v>
      </c>
      <c r="D17" s="8">
        <v>28.9</v>
      </c>
      <c r="E17" s="7">
        <v>2</v>
      </c>
      <c r="F17" s="9">
        <v>0.10296129510346</v>
      </c>
    </row>
    <row r="18" ht="15" customHeight="1" spans="1:6">
      <c r="A18" s="32">
        <v>14</v>
      </c>
      <c r="B18" s="32" t="s">
        <v>55</v>
      </c>
      <c r="C18" s="33">
        <v>499.9</v>
      </c>
      <c r="D18" s="33">
        <v>44.7</v>
      </c>
      <c r="E18" s="32">
        <v>2</v>
      </c>
      <c r="F18" s="34">
        <v>0.0894178835767154</v>
      </c>
    </row>
    <row r="19" ht="15" customHeight="1" spans="1:6">
      <c r="A19" s="32">
        <v>15</v>
      </c>
      <c r="B19" s="32" t="s">
        <v>56</v>
      </c>
      <c r="C19" s="33">
        <v>1723.1</v>
      </c>
      <c r="D19" s="33">
        <v>152.7</v>
      </c>
      <c r="E19" s="32">
        <v>7</v>
      </c>
      <c r="F19" s="34">
        <v>0.0886193488480065</v>
      </c>
    </row>
    <row r="20" ht="15" customHeight="1" spans="1:6">
      <c r="A20" s="32">
        <v>16</v>
      </c>
      <c r="B20" s="32" t="s">
        <v>57</v>
      </c>
      <c r="C20" s="33">
        <v>668.43</v>
      </c>
      <c r="D20" s="33">
        <v>57.2</v>
      </c>
      <c r="E20" s="32">
        <v>2</v>
      </c>
      <c r="F20" s="34">
        <v>0.0855736576754484</v>
      </c>
    </row>
    <row r="21" ht="15" customHeight="1" spans="1:6">
      <c r="A21" s="32">
        <v>17</v>
      </c>
      <c r="B21" s="32" t="s">
        <v>58</v>
      </c>
      <c r="C21" s="33">
        <v>1650</v>
      </c>
      <c r="D21" s="33">
        <v>137.8</v>
      </c>
      <c r="E21" s="32">
        <v>3</v>
      </c>
      <c r="F21" s="34">
        <v>0.0835151515151515</v>
      </c>
    </row>
    <row r="22" ht="15" customHeight="1" spans="1:6">
      <c r="A22" s="10">
        <v>18</v>
      </c>
      <c r="B22" s="10" t="s">
        <v>59</v>
      </c>
      <c r="C22" s="11">
        <v>1984.92</v>
      </c>
      <c r="D22" s="11">
        <v>156.2</v>
      </c>
      <c r="E22" s="10">
        <v>7</v>
      </c>
      <c r="F22" s="12">
        <v>0.0786933478427342</v>
      </c>
    </row>
    <row r="23" ht="15" customHeight="1" spans="1:6">
      <c r="A23" s="10">
        <v>19</v>
      </c>
      <c r="B23" s="10" t="s">
        <v>60</v>
      </c>
      <c r="C23" s="11">
        <v>1208.73</v>
      </c>
      <c r="D23" s="11">
        <v>90.8</v>
      </c>
      <c r="E23" s="10">
        <v>2</v>
      </c>
      <c r="F23" s="12">
        <v>0.0751199188572507</v>
      </c>
    </row>
    <row r="24" ht="15" customHeight="1" spans="1:6">
      <c r="A24" s="10">
        <v>20</v>
      </c>
      <c r="B24" s="10" t="s">
        <v>61</v>
      </c>
      <c r="C24" s="11">
        <v>1099.56</v>
      </c>
      <c r="D24" s="11">
        <v>78.5</v>
      </c>
      <c r="E24" s="10">
        <v>4</v>
      </c>
      <c r="F24" s="12">
        <v>0.0713921932409327</v>
      </c>
    </row>
    <row r="25" ht="15" customHeight="1" spans="1:6">
      <c r="A25" s="10">
        <v>21</v>
      </c>
      <c r="B25" s="10" t="s">
        <v>62</v>
      </c>
      <c r="C25" s="11">
        <v>2322.86</v>
      </c>
      <c r="D25" s="11">
        <v>163.9</v>
      </c>
      <c r="E25" s="10">
        <v>5</v>
      </c>
      <c r="F25" s="12">
        <v>0.0705595688074184</v>
      </c>
    </row>
    <row r="26" ht="15" customHeight="1" spans="1:6">
      <c r="A26" s="13">
        <v>22</v>
      </c>
      <c r="B26" s="13" t="s">
        <v>63</v>
      </c>
      <c r="C26" s="14">
        <v>2242.21</v>
      </c>
      <c r="D26" s="14">
        <v>145.8</v>
      </c>
      <c r="E26" s="13">
        <v>6</v>
      </c>
      <c r="F26" s="15">
        <v>0.0650250734542497</v>
      </c>
    </row>
    <row r="27" ht="15" customHeight="1" spans="1:6">
      <c r="A27" s="13">
        <v>23</v>
      </c>
      <c r="B27" s="13" t="s">
        <v>64</v>
      </c>
      <c r="C27" s="14">
        <v>2350.8</v>
      </c>
      <c r="D27" s="14">
        <v>145.5</v>
      </c>
      <c r="E27" s="13">
        <v>5</v>
      </c>
      <c r="F27" s="15">
        <v>0.0618938233792751</v>
      </c>
    </row>
    <row r="28" ht="15" customHeight="1" spans="1:6">
      <c r="A28" s="13">
        <v>24</v>
      </c>
      <c r="B28" s="13" t="s">
        <v>65</v>
      </c>
      <c r="C28" s="14">
        <v>690.48</v>
      </c>
      <c r="D28" s="14">
        <v>40.3</v>
      </c>
      <c r="E28" s="13">
        <v>2</v>
      </c>
      <c r="F28" s="15">
        <v>0.0583648571147195</v>
      </c>
    </row>
    <row r="29" ht="15" customHeight="1" spans="1:6">
      <c r="A29" s="13">
        <v>25</v>
      </c>
      <c r="B29" s="13" t="s">
        <v>66</v>
      </c>
      <c r="C29" s="14">
        <v>3670.2</v>
      </c>
      <c r="D29" s="14">
        <v>214.1</v>
      </c>
      <c r="E29" s="13">
        <v>7</v>
      </c>
      <c r="F29" s="15">
        <v>0.0583346956569124</v>
      </c>
    </row>
    <row r="30" ht="15" customHeight="1" spans="1:6">
      <c r="A30" s="13">
        <v>26</v>
      </c>
      <c r="B30" s="13" t="s">
        <v>67</v>
      </c>
      <c r="C30" s="14">
        <v>1102.4</v>
      </c>
      <c r="D30" s="14">
        <v>63.1</v>
      </c>
      <c r="E30" s="13">
        <v>4</v>
      </c>
      <c r="F30" s="15">
        <v>0.0572387518142235</v>
      </c>
    </row>
    <row r="31" ht="15" customHeight="1" spans="1:6">
      <c r="A31" s="13">
        <v>27</v>
      </c>
      <c r="B31" s="13" t="s">
        <v>68</v>
      </c>
      <c r="C31" s="14">
        <v>680.94</v>
      </c>
      <c r="D31" s="14">
        <v>37.7</v>
      </c>
      <c r="E31" s="13">
        <v>2</v>
      </c>
      <c r="F31" s="15">
        <v>0.055364642993509</v>
      </c>
    </row>
    <row r="32" ht="15" customHeight="1" spans="1:6">
      <c r="A32" s="13">
        <v>28</v>
      </c>
      <c r="B32" s="13" t="s">
        <v>69</v>
      </c>
      <c r="C32" s="14">
        <v>239.4</v>
      </c>
      <c r="D32" s="14">
        <v>13.2</v>
      </c>
      <c r="E32" s="13">
        <v>2</v>
      </c>
      <c r="F32" s="15">
        <v>0.0551378446115288</v>
      </c>
    </row>
    <row r="33" ht="15" customHeight="1" spans="1:6">
      <c r="A33" s="13">
        <v>29</v>
      </c>
      <c r="B33" s="13" t="s">
        <v>70</v>
      </c>
      <c r="C33" s="14">
        <v>10036.56</v>
      </c>
      <c r="D33" s="14">
        <v>545.1</v>
      </c>
      <c r="E33" s="13">
        <v>8</v>
      </c>
      <c r="F33" s="15">
        <v>0.0543114373849207</v>
      </c>
    </row>
    <row r="34" ht="15" customHeight="1" spans="1:6">
      <c r="A34" s="13">
        <v>30</v>
      </c>
      <c r="B34" s="13" t="s">
        <v>71</v>
      </c>
      <c r="C34" s="14">
        <v>695.04</v>
      </c>
      <c r="D34" s="14">
        <v>37.2</v>
      </c>
      <c r="E34" s="13">
        <v>2</v>
      </c>
      <c r="F34" s="15">
        <v>0.0535220994475138</v>
      </c>
    </row>
    <row r="35" ht="15" customHeight="1" spans="1:6">
      <c r="A35" s="13">
        <v>31</v>
      </c>
      <c r="B35" s="13" t="s">
        <v>72</v>
      </c>
      <c r="C35" s="14">
        <v>3756.3</v>
      </c>
      <c r="D35" s="14">
        <v>199.6</v>
      </c>
      <c r="E35" s="13">
        <v>5</v>
      </c>
      <c r="F35" s="15">
        <v>0.0531373958416527</v>
      </c>
    </row>
    <row r="36" ht="15" customHeight="1" spans="1:6">
      <c r="A36" s="13">
        <v>32</v>
      </c>
      <c r="B36" s="13" t="s">
        <v>73</v>
      </c>
      <c r="C36" s="14">
        <v>1278.99</v>
      </c>
      <c r="D36" s="14">
        <v>65.8</v>
      </c>
      <c r="E36" s="13">
        <v>5</v>
      </c>
      <c r="F36" s="15">
        <v>0.051446844775956</v>
      </c>
    </row>
    <row r="37" ht="15" customHeight="1" spans="1:6">
      <c r="A37" s="13">
        <v>33</v>
      </c>
      <c r="B37" s="13" t="s">
        <v>74</v>
      </c>
      <c r="C37" s="14">
        <v>3276.7</v>
      </c>
      <c r="D37" s="14">
        <v>158.1</v>
      </c>
      <c r="E37" s="13">
        <v>8</v>
      </c>
      <c r="F37" s="15">
        <v>0.0482497634815516</v>
      </c>
    </row>
    <row r="38" ht="15" customHeight="1" spans="1:6">
      <c r="A38" s="13">
        <v>34</v>
      </c>
      <c r="B38" s="13" t="s">
        <v>75</v>
      </c>
      <c r="C38" s="14">
        <v>228.81</v>
      </c>
      <c r="D38" s="14">
        <v>9.8</v>
      </c>
      <c r="E38" s="13">
        <v>2</v>
      </c>
      <c r="F38" s="15">
        <v>0.0428302958786766</v>
      </c>
    </row>
    <row r="39" ht="15" customHeight="1" spans="1:6">
      <c r="A39" s="13">
        <v>35</v>
      </c>
      <c r="B39" s="13" t="s">
        <v>76</v>
      </c>
      <c r="C39" s="14">
        <v>165.75</v>
      </c>
      <c r="D39" s="14">
        <v>6.6</v>
      </c>
      <c r="E39" s="13">
        <v>2</v>
      </c>
      <c r="F39" s="15">
        <v>0.0398190045248869</v>
      </c>
    </row>
    <row r="40" ht="15" customHeight="1" spans="1:6">
      <c r="A40" s="13">
        <v>36</v>
      </c>
      <c r="B40" s="13" t="s">
        <v>77</v>
      </c>
      <c r="C40" s="14">
        <v>584.6</v>
      </c>
      <c r="D40" s="14">
        <v>23.1</v>
      </c>
      <c r="E40" s="13">
        <v>2</v>
      </c>
      <c r="F40" s="15">
        <v>0.0395141977420458</v>
      </c>
    </row>
    <row r="41" ht="15" customHeight="1" spans="1:6">
      <c r="A41" s="13">
        <v>37</v>
      </c>
      <c r="B41" s="13" t="s">
        <v>78</v>
      </c>
      <c r="C41" s="14">
        <v>10684.8</v>
      </c>
      <c r="D41" s="14">
        <v>402.3</v>
      </c>
      <c r="E41" s="13">
        <v>8</v>
      </c>
      <c r="F41" s="15">
        <v>0.0376516172506739</v>
      </c>
    </row>
    <row r="42" ht="15" customHeight="1" spans="1:6">
      <c r="A42" s="13">
        <v>38</v>
      </c>
      <c r="B42" s="13" t="s">
        <v>79</v>
      </c>
      <c r="C42" s="14">
        <v>660</v>
      </c>
      <c r="D42" s="14">
        <v>24.8</v>
      </c>
      <c r="E42" s="13">
        <v>2</v>
      </c>
      <c r="F42" s="15">
        <v>0.0375757575757576</v>
      </c>
    </row>
    <row r="43" ht="15" customHeight="1" spans="1:6">
      <c r="A43" s="13">
        <v>39</v>
      </c>
      <c r="B43" s="13" t="s">
        <v>80</v>
      </c>
      <c r="C43" s="14">
        <v>3950.97</v>
      </c>
      <c r="D43" s="14">
        <v>141.4</v>
      </c>
      <c r="E43" s="13">
        <v>7</v>
      </c>
      <c r="F43" s="15">
        <v>0.0357886978583476</v>
      </c>
    </row>
    <row r="44" ht="15" customHeight="1" spans="1:6">
      <c r="A44" s="13">
        <v>40</v>
      </c>
      <c r="B44" s="13" t="s">
        <v>81</v>
      </c>
      <c r="C44" s="14">
        <v>1260</v>
      </c>
      <c r="D44" s="14">
        <v>44.1</v>
      </c>
      <c r="E44" s="13">
        <v>2</v>
      </c>
      <c r="F44" s="15">
        <v>0.035</v>
      </c>
    </row>
    <row r="45" ht="15" customHeight="1" spans="1:6">
      <c r="A45" s="13">
        <v>41</v>
      </c>
      <c r="B45" s="13" t="s">
        <v>82</v>
      </c>
      <c r="C45" s="14">
        <v>267.46</v>
      </c>
      <c r="D45" s="14">
        <v>8.5</v>
      </c>
      <c r="E45" s="13">
        <v>2</v>
      </c>
      <c r="F45" s="15">
        <v>0.0317804531518732</v>
      </c>
    </row>
    <row r="46" ht="15" customHeight="1" spans="1:6">
      <c r="A46" s="13">
        <v>42</v>
      </c>
      <c r="B46" s="13" t="s">
        <v>83</v>
      </c>
      <c r="C46" s="14">
        <v>2447.1</v>
      </c>
      <c r="D46" s="14">
        <v>74.1</v>
      </c>
      <c r="E46" s="13">
        <v>8</v>
      </c>
      <c r="F46" s="15">
        <v>0.030280690971859</v>
      </c>
    </row>
    <row r="47" ht="15" customHeight="1" spans="1:6">
      <c r="A47" s="13">
        <v>43</v>
      </c>
      <c r="B47" s="13" t="s">
        <v>84</v>
      </c>
      <c r="C47" s="14">
        <v>3851.68</v>
      </c>
      <c r="D47" s="14">
        <v>114.6</v>
      </c>
      <c r="E47" s="13">
        <v>8</v>
      </c>
      <c r="F47" s="15">
        <v>0.029753250529639</v>
      </c>
    </row>
    <row r="48" ht="15" customHeight="1" spans="1:6">
      <c r="A48" s="13">
        <v>44</v>
      </c>
      <c r="B48" s="13" t="s">
        <v>85</v>
      </c>
      <c r="C48" s="14">
        <v>5226.9</v>
      </c>
      <c r="D48" s="14">
        <v>147.2</v>
      </c>
      <c r="E48" s="13">
        <v>7</v>
      </c>
      <c r="F48" s="15">
        <v>0.0281620080736192</v>
      </c>
    </row>
    <row r="49" ht="15" customHeight="1" spans="1:6">
      <c r="A49" s="13">
        <v>45</v>
      </c>
      <c r="B49" s="13" t="s">
        <v>86</v>
      </c>
      <c r="C49" s="14">
        <v>4203.84</v>
      </c>
      <c r="D49" s="14">
        <v>114.5</v>
      </c>
      <c r="E49" s="13">
        <v>8</v>
      </c>
      <c r="F49" s="15">
        <v>0.0272370023597473</v>
      </c>
    </row>
    <row r="50" ht="15" customHeight="1" spans="1:6">
      <c r="A50" s="13">
        <v>46</v>
      </c>
      <c r="B50" s="13" t="s">
        <v>87</v>
      </c>
      <c r="C50" s="14">
        <v>2406.12</v>
      </c>
      <c r="D50" s="14">
        <v>59.9</v>
      </c>
      <c r="E50" s="13">
        <v>4</v>
      </c>
      <c r="F50" s="15">
        <v>0.024894851462105</v>
      </c>
    </row>
    <row r="51" ht="15" customHeight="1" spans="1:6">
      <c r="A51" s="13">
        <v>47</v>
      </c>
      <c r="B51" s="13" t="s">
        <v>88</v>
      </c>
      <c r="C51" s="14">
        <v>9484.6</v>
      </c>
      <c r="D51" s="14">
        <v>226.3</v>
      </c>
      <c r="E51" s="13">
        <v>8</v>
      </c>
      <c r="F51" s="15">
        <v>0.0238597204480018</v>
      </c>
    </row>
    <row r="52" ht="15" customHeight="1" spans="1:6">
      <c r="A52" s="13">
        <v>48</v>
      </c>
      <c r="B52" s="13" t="s">
        <v>89</v>
      </c>
      <c r="C52" s="14">
        <v>808.04</v>
      </c>
      <c r="D52" s="14">
        <v>19.2</v>
      </c>
      <c r="E52" s="13">
        <v>3</v>
      </c>
      <c r="F52" s="15">
        <v>0.023761317565059</v>
      </c>
    </row>
    <row r="53" ht="15" customHeight="1" spans="1:6">
      <c r="A53" s="13">
        <v>49</v>
      </c>
      <c r="B53" s="13" t="s">
        <v>90</v>
      </c>
      <c r="C53" s="14">
        <v>1554.46</v>
      </c>
      <c r="D53" s="14">
        <v>33.8</v>
      </c>
      <c r="E53" s="13">
        <v>4</v>
      </c>
      <c r="F53" s="15">
        <v>0.0217439273006587</v>
      </c>
    </row>
    <row r="54" ht="15" customHeight="1" spans="1:6">
      <c r="A54" s="16">
        <v>50</v>
      </c>
      <c r="B54" s="16" t="s">
        <v>91</v>
      </c>
      <c r="C54" s="17">
        <v>942.32</v>
      </c>
      <c r="D54" s="17">
        <v>18.6</v>
      </c>
      <c r="E54" s="16">
        <v>6</v>
      </c>
      <c r="F54" s="18">
        <v>0.0197385595945318</v>
      </c>
    </row>
    <row r="55" ht="15" customHeight="1" spans="1:6">
      <c r="A55" s="16">
        <v>51</v>
      </c>
      <c r="B55" s="16" t="s">
        <v>92</v>
      </c>
      <c r="C55" s="17">
        <v>2356.06</v>
      </c>
      <c r="D55" s="17">
        <v>46</v>
      </c>
      <c r="E55" s="16">
        <v>7</v>
      </c>
      <c r="F55" s="18">
        <v>0.0195155988971437</v>
      </c>
    </row>
    <row r="56" ht="15" customHeight="1" spans="1:6">
      <c r="A56" s="16">
        <v>52</v>
      </c>
      <c r="B56" s="16" t="s">
        <v>93</v>
      </c>
      <c r="C56" s="17">
        <v>52.92</v>
      </c>
      <c r="D56" s="17">
        <v>1</v>
      </c>
      <c r="E56" s="16">
        <v>1</v>
      </c>
      <c r="F56" s="18">
        <v>0.018896447467876</v>
      </c>
    </row>
    <row r="57" ht="15" customHeight="1" spans="1:6">
      <c r="A57" s="16">
        <v>53</v>
      </c>
      <c r="B57" s="16" t="s">
        <v>94</v>
      </c>
      <c r="C57" s="17">
        <v>295.2</v>
      </c>
      <c r="D57" s="17">
        <v>4.9</v>
      </c>
      <c r="E57" s="16">
        <v>1</v>
      </c>
      <c r="F57" s="18">
        <v>0.0165989159891599</v>
      </c>
    </row>
    <row r="58" ht="15" customHeight="1" spans="1:6">
      <c r="A58" s="16">
        <v>54</v>
      </c>
      <c r="B58" s="16" t="s">
        <v>95</v>
      </c>
      <c r="C58" s="17">
        <v>11867.76</v>
      </c>
      <c r="D58" s="17">
        <v>169.6</v>
      </c>
      <c r="E58" s="16">
        <v>7</v>
      </c>
      <c r="F58" s="18">
        <v>0.0142908181493391</v>
      </c>
    </row>
    <row r="59" ht="15" customHeight="1" spans="1:6">
      <c r="A59" s="16">
        <v>55</v>
      </c>
      <c r="B59" s="16" t="s">
        <v>96</v>
      </c>
      <c r="C59" s="17">
        <v>1753.15</v>
      </c>
      <c r="D59" s="17">
        <v>24.2</v>
      </c>
      <c r="E59" s="16">
        <v>6</v>
      </c>
      <c r="F59" s="18">
        <v>0.0138037089767459</v>
      </c>
    </row>
    <row r="60" ht="15" customHeight="1" spans="1:6">
      <c r="A60" s="16">
        <v>56</v>
      </c>
      <c r="B60" s="16" t="s">
        <v>97</v>
      </c>
      <c r="C60" s="17">
        <v>667.52</v>
      </c>
      <c r="D60" s="17">
        <v>8.5</v>
      </c>
      <c r="E60" s="16">
        <v>2</v>
      </c>
      <c r="F60" s="18">
        <v>0.0127337008628955</v>
      </c>
    </row>
    <row r="61" ht="15" customHeight="1" spans="1:6">
      <c r="A61" s="16">
        <v>57</v>
      </c>
      <c r="B61" s="16" t="s">
        <v>98</v>
      </c>
      <c r="C61" s="17">
        <v>1765</v>
      </c>
      <c r="D61" s="17">
        <v>17.6</v>
      </c>
      <c r="E61" s="16">
        <v>4</v>
      </c>
      <c r="F61" s="18">
        <v>0.00997167138810198</v>
      </c>
    </row>
    <row r="62" ht="15" customHeight="1" spans="1:6">
      <c r="A62" s="16">
        <v>58</v>
      </c>
      <c r="B62" s="16" t="s">
        <v>99</v>
      </c>
      <c r="C62" s="17">
        <v>1756</v>
      </c>
      <c r="D62" s="17">
        <v>16.9</v>
      </c>
      <c r="E62" s="16">
        <v>5</v>
      </c>
      <c r="F62" s="18">
        <v>0.00962414578587699</v>
      </c>
    </row>
    <row r="63" ht="15" customHeight="1" spans="1:6">
      <c r="A63" s="16">
        <v>59</v>
      </c>
      <c r="B63" s="16" t="s">
        <v>100</v>
      </c>
      <c r="C63" s="17">
        <v>893.36</v>
      </c>
      <c r="D63" s="17">
        <v>7.5</v>
      </c>
      <c r="E63" s="16">
        <v>3</v>
      </c>
      <c r="F63" s="18">
        <v>0.00839527178293185</v>
      </c>
    </row>
    <row r="64" ht="15" customHeight="1" spans="1:6">
      <c r="A64" s="16">
        <v>60</v>
      </c>
      <c r="B64" s="16" t="s">
        <v>101</v>
      </c>
      <c r="C64" s="17">
        <v>203</v>
      </c>
      <c r="D64" s="17">
        <v>1.3</v>
      </c>
      <c r="E64" s="16">
        <v>1</v>
      </c>
      <c r="F64" s="18">
        <v>0.00640394088669951</v>
      </c>
    </row>
    <row r="65" ht="15" customHeight="1" spans="1:6">
      <c r="A65" s="16">
        <v>61</v>
      </c>
      <c r="B65" s="16" t="s">
        <v>102</v>
      </c>
      <c r="C65" s="17">
        <v>840.72</v>
      </c>
      <c r="D65" s="17">
        <v>2.1</v>
      </c>
      <c r="E65" s="16">
        <v>2</v>
      </c>
      <c r="F65" s="18">
        <v>0.00249785897801884</v>
      </c>
    </row>
    <row r="66" ht="15" customHeight="1" spans="1:6">
      <c r="A66" s="28" t="s">
        <v>103</v>
      </c>
      <c r="B66" s="29"/>
      <c r="C66" s="30">
        <v>121569.42</v>
      </c>
      <c r="D66" s="30">
        <v>5482.7</v>
      </c>
      <c r="E66" s="29" t="s">
        <v>30</v>
      </c>
      <c r="F66" s="31">
        <f>D66/C66</f>
        <v>0.0450993350136901</v>
      </c>
    </row>
  </sheetData>
  <mergeCells count="3">
    <mergeCell ref="A1:F1"/>
    <mergeCell ref="A2:F2"/>
    <mergeCell ref="A66:B6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"/>
  <sheetViews>
    <sheetView workbookViewId="0">
      <selection activeCell="A1" sqref="A1:F1"/>
    </sheetView>
  </sheetViews>
  <sheetFormatPr defaultColWidth="8" defaultRowHeight="14.25" outlineLevelCol="5"/>
  <cols>
    <col min="1" max="1" width="16" customWidth="1"/>
    <col min="2" max="2" width="10" customWidth="1"/>
    <col min="3" max="3" width="16" customWidth="1"/>
    <col min="4" max="4" width="14" customWidth="1"/>
    <col min="5" max="6" width="12" customWidth="1"/>
  </cols>
  <sheetData>
    <row r="1" ht="32" customHeight="1" spans="1:6">
      <c r="A1" s="1" t="s">
        <v>104</v>
      </c>
    </row>
    <row r="2" ht="20" customHeight="1" spans="1:6">
      <c r="A2" s="2" t="s">
        <v>105</v>
      </c>
    </row>
    <row r="4" ht="28" customHeight="1" spans="1:6">
      <c r="A4" s="3" t="s">
        <v>106</v>
      </c>
      <c r="B4" s="3" t="s">
        <v>107</v>
      </c>
      <c r="C4" s="3" t="s">
        <v>25</v>
      </c>
      <c r="D4" s="3" t="s">
        <v>26</v>
      </c>
      <c r="E4" s="3" t="s">
        <v>108</v>
      </c>
      <c r="F4" s="3" t="s">
        <v>109</v>
      </c>
    </row>
    <row r="5" ht="15" customHeight="1" spans="1:6">
      <c r="A5" s="16" t="s">
        <v>110</v>
      </c>
      <c r="B5" s="16">
        <v>12</v>
      </c>
      <c r="C5" s="17">
        <v>23393.01</v>
      </c>
      <c r="D5" s="17">
        <v>318.2</v>
      </c>
      <c r="E5" s="18">
        <v>0.192425157327399</v>
      </c>
      <c r="F5" s="18">
        <v>0.0580336623694981</v>
      </c>
    </row>
    <row r="6" ht="15" customHeight="1" spans="1:6">
      <c r="A6" s="19" t="s">
        <v>111</v>
      </c>
      <c r="B6" s="19">
        <v>17</v>
      </c>
      <c r="C6" s="20">
        <v>51061.83</v>
      </c>
      <c r="D6" s="20">
        <v>1608.3</v>
      </c>
      <c r="E6" s="21">
        <v>0.420021997966989</v>
      </c>
      <c r="F6" s="21">
        <v>0.293341942261813</v>
      </c>
    </row>
    <row r="7" ht="15" customHeight="1" spans="1:6">
      <c r="A7" s="22" t="s">
        <v>112</v>
      </c>
      <c r="B7" s="22">
        <v>19</v>
      </c>
      <c r="C7" s="23">
        <v>37900.83</v>
      </c>
      <c r="D7" s="23">
        <v>2389.2</v>
      </c>
      <c r="E7" s="24">
        <v>0.311762869700715</v>
      </c>
      <c r="F7" s="24">
        <v>0.435772286545996</v>
      </c>
    </row>
    <row r="8" ht="15" customHeight="1" spans="1:6">
      <c r="A8" s="25" t="s">
        <v>113</v>
      </c>
      <c r="B8" s="25">
        <v>11</v>
      </c>
      <c r="C8" s="26">
        <v>9070.48</v>
      </c>
      <c r="D8" s="26">
        <v>1124.5</v>
      </c>
      <c r="E8" s="27">
        <v>0.0746115536164129</v>
      </c>
      <c r="F8" s="27">
        <v>0.205100425339433</v>
      </c>
    </row>
    <row r="9" ht="15" customHeight="1" spans="1:6">
      <c r="A9" s="7" t="s">
        <v>114</v>
      </c>
      <c r="B9" s="7">
        <v>2</v>
      </c>
      <c r="C9" s="8">
        <v>143.26</v>
      </c>
      <c r="D9" s="8">
        <v>42.5</v>
      </c>
      <c r="E9" s="9">
        <v>0.00117842138848475</v>
      </c>
      <c r="F9" s="9">
        <v>0.00775168348326001</v>
      </c>
    </row>
    <row r="10" ht="15" customHeight="1" spans="1:6">
      <c r="A10" s="28" t="s">
        <v>115</v>
      </c>
      <c r="B10" s="29">
        <v>61</v>
      </c>
      <c r="C10" s="30">
        <v>121569.42</v>
      </c>
      <c r="D10" s="30">
        <v>5482.7</v>
      </c>
      <c r="E10" s="31">
        <v>1</v>
      </c>
      <c r="F10" s="31">
        <v>1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7"/>
  <sheetViews>
    <sheetView workbookViewId="0">
      <selection activeCell="I22" sqref="I22"/>
    </sheetView>
  </sheetViews>
  <sheetFormatPr defaultColWidth="8" defaultRowHeight="14.25" outlineLevelCol="4"/>
  <cols>
    <col min="1" max="1" width="8" customWidth="1"/>
    <col min="2" max="2" width="12" customWidth="1"/>
    <col min="3" max="3" width="16" customWidth="1"/>
    <col min="4" max="4" width="14" customWidth="1"/>
    <col min="5" max="5" width="12" customWidth="1"/>
  </cols>
  <sheetData>
    <row r="1" ht="32" customHeight="1" spans="1:5">
      <c r="A1" s="1" t="s">
        <v>116</v>
      </c>
    </row>
    <row r="2" ht="20" customHeight="1" spans="1:5">
      <c r="A2" s="2" t="s">
        <v>117</v>
      </c>
    </row>
    <row r="4" ht="28" customHeight="1" spans="1:5">
      <c r="A4" s="3" t="s">
        <v>39</v>
      </c>
      <c r="B4" s="3" t="s">
        <v>118</v>
      </c>
      <c r="C4" s="3" t="s">
        <v>25</v>
      </c>
      <c r="D4" s="3" t="s">
        <v>26</v>
      </c>
      <c r="E4" s="3" t="s">
        <v>27</v>
      </c>
    </row>
    <row r="5" ht="15" customHeight="1" spans="1:5">
      <c r="A5" s="7">
        <v>1</v>
      </c>
      <c r="B5" s="7" t="s">
        <v>119</v>
      </c>
      <c r="C5" s="8">
        <v>110.7</v>
      </c>
      <c r="D5" s="8">
        <v>34</v>
      </c>
      <c r="E5" s="9">
        <v>0.30713640469738</v>
      </c>
    </row>
    <row r="6" ht="15" customHeight="1" spans="1:5">
      <c r="A6" s="7">
        <v>2</v>
      </c>
      <c r="B6" s="7" t="s">
        <v>120</v>
      </c>
      <c r="C6" s="8">
        <v>845.94</v>
      </c>
      <c r="D6" s="8">
        <v>115.9</v>
      </c>
      <c r="E6" s="9">
        <v>0.137007352767336</v>
      </c>
    </row>
    <row r="7" ht="15" customHeight="1" spans="1:5">
      <c r="A7" s="7">
        <v>3</v>
      </c>
      <c r="B7" s="7" t="s">
        <v>121</v>
      </c>
      <c r="C7" s="8">
        <v>280.69</v>
      </c>
      <c r="D7" s="8">
        <v>28.9</v>
      </c>
      <c r="E7" s="9">
        <v>0.10296129510346</v>
      </c>
    </row>
    <row r="8" ht="15" customHeight="1" spans="1:5">
      <c r="A8" s="10">
        <v>4</v>
      </c>
      <c r="B8" s="10" t="s">
        <v>122</v>
      </c>
      <c r="C8" s="11">
        <v>5361.03</v>
      </c>
      <c r="D8" s="11">
        <v>493.1</v>
      </c>
      <c r="E8" s="12">
        <v>0.0919785250382669</v>
      </c>
    </row>
    <row r="9" ht="15" customHeight="1" spans="1:5">
      <c r="A9" s="10">
        <v>5</v>
      </c>
      <c r="B9" s="10" t="s">
        <v>123</v>
      </c>
      <c r="C9" s="11">
        <v>4938.78</v>
      </c>
      <c r="D9" s="11">
        <v>409.9</v>
      </c>
      <c r="E9" s="12">
        <v>0.0829961383206878</v>
      </c>
    </row>
    <row r="10" ht="15" customHeight="1" spans="1:5">
      <c r="A10" s="10">
        <v>6</v>
      </c>
      <c r="B10" s="10" t="s">
        <v>124</v>
      </c>
      <c r="C10" s="11">
        <v>3848.78</v>
      </c>
      <c r="D10" s="11">
        <v>302.5</v>
      </c>
      <c r="E10" s="12">
        <v>0.0785963344228561</v>
      </c>
    </row>
    <row r="11" ht="15" customHeight="1" spans="1:5">
      <c r="A11" s="10">
        <v>7</v>
      </c>
      <c r="B11" s="10" t="s">
        <v>125</v>
      </c>
      <c r="C11" s="11">
        <v>4322.7</v>
      </c>
      <c r="D11" s="11">
        <v>281</v>
      </c>
      <c r="E11" s="12">
        <v>0.0650056677539501</v>
      </c>
    </row>
    <row r="12" ht="15" customHeight="1" spans="1:5">
      <c r="A12" s="13">
        <v>8</v>
      </c>
      <c r="B12" s="13" t="s">
        <v>126</v>
      </c>
      <c r="C12" s="14">
        <v>3945.13</v>
      </c>
      <c r="D12" s="14">
        <v>215.3</v>
      </c>
      <c r="E12" s="15">
        <v>0.0545736135437869</v>
      </c>
    </row>
    <row r="13" ht="15" customHeight="1" spans="1:5">
      <c r="A13" s="13">
        <v>9</v>
      </c>
      <c r="B13" s="13" t="s">
        <v>127</v>
      </c>
      <c r="C13" s="14">
        <v>3158.84</v>
      </c>
      <c r="D13" s="14">
        <v>164.7</v>
      </c>
      <c r="E13" s="15">
        <v>0.0521394589652644</v>
      </c>
    </row>
    <row r="14" ht="15" customHeight="1" spans="1:5">
      <c r="A14" s="13">
        <v>10</v>
      </c>
      <c r="B14" s="13" t="s">
        <v>128</v>
      </c>
      <c r="C14" s="14">
        <v>27698.16</v>
      </c>
      <c r="D14" s="14">
        <v>1378.4</v>
      </c>
      <c r="E14" s="15">
        <v>0.0497650331540037</v>
      </c>
    </row>
    <row r="15" ht="15" customHeight="1" spans="1:5">
      <c r="A15" s="13">
        <v>11</v>
      </c>
      <c r="B15" s="13" t="s">
        <v>129</v>
      </c>
      <c r="C15" s="14">
        <v>7948.78</v>
      </c>
      <c r="D15" s="14">
        <v>326.5</v>
      </c>
      <c r="E15" s="15">
        <v>0.0410754651277479</v>
      </c>
    </row>
    <row r="16" ht="15" customHeight="1" spans="1:5">
      <c r="A16" s="13">
        <v>12</v>
      </c>
      <c r="B16" s="13" t="s">
        <v>130</v>
      </c>
      <c r="C16" s="14">
        <v>6446.05</v>
      </c>
      <c r="D16" s="14">
        <v>260.3</v>
      </c>
      <c r="E16" s="15">
        <v>0.0403813062631204</v>
      </c>
    </row>
    <row r="17" ht="15" customHeight="1" spans="1:5">
      <c r="A17" s="13">
        <v>13</v>
      </c>
      <c r="B17" s="13" t="s">
        <v>131</v>
      </c>
      <c r="C17" s="14">
        <v>16026.07</v>
      </c>
      <c r="D17" s="14">
        <v>634.8</v>
      </c>
      <c r="E17" s="15">
        <v>0.0396104572355882</v>
      </c>
    </row>
    <row r="18" ht="15" customHeight="1" spans="1:5">
      <c r="A18" s="13">
        <v>14</v>
      </c>
      <c r="B18" s="13" t="s">
        <v>132</v>
      </c>
      <c r="C18" s="14">
        <v>584.6</v>
      </c>
      <c r="D18" s="14">
        <v>23.1</v>
      </c>
      <c r="E18" s="15">
        <v>0.0395141977420458</v>
      </c>
    </row>
    <row r="19" ht="15" customHeight="1" spans="1:5">
      <c r="A19" s="13">
        <v>15</v>
      </c>
      <c r="B19" s="13" t="s">
        <v>133</v>
      </c>
      <c r="C19" s="14">
        <v>4646.01</v>
      </c>
      <c r="D19" s="14">
        <v>178.6</v>
      </c>
      <c r="E19" s="15">
        <v>0.0384416040609487</v>
      </c>
    </row>
    <row r="20" ht="15" customHeight="1" spans="1:5">
      <c r="A20" s="13">
        <v>16</v>
      </c>
      <c r="B20" s="13" t="s">
        <v>134</v>
      </c>
      <c r="C20" s="14">
        <v>825.75</v>
      </c>
      <c r="D20" s="14">
        <v>31.4</v>
      </c>
      <c r="E20" s="15">
        <v>0.0380260369361187</v>
      </c>
    </row>
    <row r="21" ht="15" customHeight="1" spans="1:5">
      <c r="A21" s="13">
        <v>17</v>
      </c>
      <c r="B21" s="13" t="s">
        <v>135</v>
      </c>
      <c r="C21" s="14">
        <v>1260</v>
      </c>
      <c r="D21" s="14">
        <v>44.1</v>
      </c>
      <c r="E21" s="15">
        <v>0.035</v>
      </c>
    </row>
    <row r="22" ht="15" customHeight="1" spans="1:5">
      <c r="A22" s="13">
        <v>18</v>
      </c>
      <c r="B22" s="13" t="s">
        <v>136</v>
      </c>
      <c r="C22" s="14">
        <v>6329.3</v>
      </c>
      <c r="D22" s="14">
        <v>210.3</v>
      </c>
      <c r="E22" s="15">
        <v>0.0332264231431596</v>
      </c>
    </row>
    <row r="23" ht="15" customHeight="1" spans="1:5">
      <c r="A23" s="16">
        <v>19</v>
      </c>
      <c r="B23" s="16" t="s">
        <v>137</v>
      </c>
      <c r="C23" s="17">
        <v>2356.06</v>
      </c>
      <c r="D23" s="17">
        <v>46</v>
      </c>
      <c r="E23" s="18">
        <v>0.0195155988971437</v>
      </c>
    </row>
    <row r="24" ht="15" customHeight="1" spans="1:5">
      <c r="A24" s="16">
        <v>20</v>
      </c>
      <c r="B24" s="16" t="s">
        <v>138</v>
      </c>
      <c r="C24" s="17">
        <v>4374.12</v>
      </c>
      <c r="D24" s="17">
        <v>78.8</v>
      </c>
      <c r="E24" s="18">
        <v>0.0180150521704937</v>
      </c>
    </row>
    <row r="25" ht="15" customHeight="1" spans="1:5">
      <c r="A25" s="16">
        <v>21</v>
      </c>
      <c r="B25" s="16" t="s">
        <v>139</v>
      </c>
      <c r="C25" s="17">
        <v>13000.52</v>
      </c>
      <c r="D25" s="17">
        <v>190.3</v>
      </c>
      <c r="E25" s="18">
        <v>0.0146378760234206</v>
      </c>
    </row>
    <row r="26" ht="15" customHeight="1" spans="1:5">
      <c r="A26" s="16">
        <v>22</v>
      </c>
      <c r="B26" s="16" t="s">
        <v>140</v>
      </c>
      <c r="C26" s="17">
        <v>2420.67</v>
      </c>
      <c r="D26" s="17">
        <v>32.7</v>
      </c>
      <c r="E26" s="18">
        <v>0.0135086455331412</v>
      </c>
    </row>
    <row r="27" ht="15" customHeight="1" spans="1:5">
      <c r="A27" s="16">
        <v>23</v>
      </c>
      <c r="B27" s="16" t="s">
        <v>141</v>
      </c>
      <c r="C27" s="17">
        <v>840.72</v>
      </c>
      <c r="D27" s="17">
        <v>2.1</v>
      </c>
      <c r="E27" s="18">
        <v>0.00249785897801884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4"/>
  <sheetViews>
    <sheetView workbookViewId="0">
      <selection activeCell="A1" sqref="A1:C1"/>
    </sheetView>
  </sheetViews>
  <sheetFormatPr defaultColWidth="8" defaultRowHeight="14.25" outlineLevelCol="2"/>
  <cols>
    <col min="1" max="1" width="24" customWidth="1"/>
    <col min="2" max="2" width="28" customWidth="1"/>
    <col min="3" max="3" width="50" customWidth="1"/>
  </cols>
  <sheetData>
    <row r="1" ht="32" customHeight="1" spans="1:3">
      <c r="A1" s="1" t="s">
        <v>142</v>
      </c>
    </row>
    <row r="2" ht="20" customHeight="1" spans="1:3">
      <c r="A2" s="2" t="s">
        <v>143</v>
      </c>
    </row>
    <row r="4" ht="28" customHeight="1" spans="1:3">
      <c r="A4" s="3" t="s">
        <v>144</v>
      </c>
      <c r="B4" s="3" t="s">
        <v>145</v>
      </c>
      <c r="C4" s="3" t="s">
        <v>146</v>
      </c>
    </row>
    <row r="5" ht="32" customHeight="1" spans="1:3">
      <c r="A5" s="4" t="s">
        <v>147</v>
      </c>
      <c r="B5" s="4"/>
      <c r="C5" s="4"/>
    </row>
    <row r="6" ht="32" customHeight="1" spans="1:3">
      <c r="A6" s="5" t="s">
        <v>148</v>
      </c>
      <c r="B6" s="5" t="s">
        <v>149</v>
      </c>
      <c r="C6" s="5" t="s">
        <v>150</v>
      </c>
    </row>
    <row r="7" ht="32" customHeight="1" spans="1:3">
      <c r="A7" s="5" t="s">
        <v>151</v>
      </c>
      <c r="B7" s="5" t="s">
        <v>152</v>
      </c>
      <c r="C7" s="5" t="s">
        <v>153</v>
      </c>
    </row>
    <row r="8" ht="32" customHeight="1" spans="1:3">
      <c r="A8" s="5" t="s">
        <v>154</v>
      </c>
      <c r="B8" s="5" t="s">
        <v>155</v>
      </c>
      <c r="C8" s="5" t="s">
        <v>156</v>
      </c>
    </row>
    <row r="9" ht="32" customHeight="1" spans="1:3">
      <c r="A9" s="5" t="s">
        <v>157</v>
      </c>
      <c r="B9" s="5" t="s">
        <v>158</v>
      </c>
      <c r="C9" s="5" t="s">
        <v>159</v>
      </c>
    </row>
    <row r="10" ht="32" customHeight="1" spans="1:3">
      <c r="A10" s="6"/>
      <c r="B10" s="6"/>
      <c r="C10" s="6"/>
    </row>
    <row r="11" ht="32" customHeight="1" spans="1:3">
      <c r="A11" s="4" t="s">
        <v>160</v>
      </c>
      <c r="B11" s="4"/>
      <c r="C11" s="4"/>
    </row>
    <row r="12" ht="32" customHeight="1" spans="1:3">
      <c r="A12" s="5" t="s">
        <v>161</v>
      </c>
      <c r="B12" s="5" t="s">
        <v>162</v>
      </c>
      <c r="C12" s="5" t="s">
        <v>163</v>
      </c>
    </row>
    <row r="13" ht="32" customHeight="1" spans="1:3">
      <c r="A13" s="5" t="s">
        <v>164</v>
      </c>
      <c r="B13" s="5" t="s">
        <v>165</v>
      </c>
      <c r="C13" s="5" t="s">
        <v>166</v>
      </c>
    </row>
    <row r="14" ht="32" customHeight="1" spans="1:3">
      <c r="A14" s="5" t="s">
        <v>167</v>
      </c>
      <c r="B14" s="5" t="s">
        <v>168</v>
      </c>
      <c r="C14" s="5" t="s">
        <v>169</v>
      </c>
    </row>
    <row r="15" ht="32" customHeight="1" spans="1:3">
      <c r="A15" s="6"/>
      <c r="B15" s="6"/>
      <c r="C15" s="6"/>
    </row>
    <row r="16" ht="32" customHeight="1" spans="1:3">
      <c r="A16" s="4" t="s">
        <v>170</v>
      </c>
      <c r="B16" s="4"/>
      <c r="C16" s="4"/>
    </row>
    <row r="17" ht="32" customHeight="1" spans="1:3">
      <c r="A17" s="5" t="s">
        <v>171</v>
      </c>
      <c r="B17" s="5" t="s">
        <v>172</v>
      </c>
      <c r="C17" s="5" t="s">
        <v>173</v>
      </c>
    </row>
    <row r="18" ht="32" customHeight="1" spans="1:3">
      <c r="A18" s="5" t="s">
        <v>174</v>
      </c>
      <c r="B18" s="5" t="s">
        <v>175</v>
      </c>
      <c r="C18" s="5" t="s">
        <v>176</v>
      </c>
    </row>
    <row r="19" ht="32" customHeight="1" spans="1:3">
      <c r="A19" s="5" t="s">
        <v>177</v>
      </c>
      <c r="B19" s="5" t="s">
        <v>178</v>
      </c>
      <c r="C19" s="5" t="s">
        <v>179</v>
      </c>
    </row>
    <row r="20" ht="32" customHeight="1" spans="1:3">
      <c r="A20" s="6"/>
      <c r="B20" s="6"/>
      <c r="C20" s="6"/>
    </row>
    <row r="21" ht="32" customHeight="1" spans="1:3">
      <c r="A21" s="4" t="s">
        <v>180</v>
      </c>
      <c r="B21" s="4"/>
      <c r="C21" s="4"/>
    </row>
    <row r="22" ht="32" customHeight="1" spans="1:3">
      <c r="A22" s="5" t="s">
        <v>181</v>
      </c>
      <c r="B22" s="5" t="s">
        <v>182</v>
      </c>
      <c r="C22" s="5" t="s">
        <v>183</v>
      </c>
    </row>
    <row r="23" ht="32" customHeight="1" spans="1:3">
      <c r="A23" s="5" t="s">
        <v>184</v>
      </c>
      <c r="B23" s="5" t="s">
        <v>185</v>
      </c>
      <c r="C23" s="5" t="s">
        <v>186</v>
      </c>
    </row>
    <row r="24" ht="32" customHeight="1" spans="1:3">
      <c r="A24" s="5" t="s">
        <v>187</v>
      </c>
      <c r="B24" s="5" t="s">
        <v>188</v>
      </c>
      <c r="C24" s="5" t="s">
        <v>189</v>
      </c>
    </row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分析概览</vt:lpstr>
      <vt:lpstr>产品报废TOP排名</vt:lpstr>
      <vt:lpstr>报废率分级统计</vt:lpstr>
      <vt:lpstr>产品系列分析</vt:lpstr>
      <vt:lpstr>改善建议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其茂</cp:lastModifiedBy>
  <dcterms:created xsi:type="dcterms:W3CDTF">2026-08-09T08:27:00Z</dcterms:created>
  <dcterms:modified xsi:type="dcterms:W3CDTF">2026-08-09T08:52:25Z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{"Label":"1","ContentProducer":"001191110102MACQD9K64010000","ProduceID":"7671945541669326044","ReservedCode1":"","ContentPropagator":"","PropagateID":"","ReservedCode2":""}</vt:lpwstr>
  </property>
  <property fmtid="{D5CDD505-2E9C-101B-9397-08002B2CF9AE}" pid="3" name="ICV">
    <vt:lpwstr>CFA230AB65BD432C8DFA53F6E8A30936_12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